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ur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color rgb="00000000"/>
    </font>
    <font>
      <name val="Arial"/>
      <color rgb="000000FF"/>
    </font>
    <font>
      <name val="Arial"/>
      <b val="1"/>
      <color rgb="0052514E"/>
    </font>
    <font>
      <name val="Arial"/>
      <i val="1"/>
      <color rgb="0052514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49" fontId="2" fillId="0" borderId="0" pivotButton="0" quotePrefix="0" xfId="0"/>
    <xf numFmtId="164" fontId="3" fillId="0" borderId="0" pivotButton="0" quotePrefix="0" xfId="0"/>
    <xf numFmtId="165" fontId="2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'Figure 2'!B1</f>
            </strRef>
          </tx>
          <spPr>
            <a:ln xmlns:a="http://schemas.openxmlformats.org/drawingml/2006/main" w="25400">
              <a:solidFill>
                <a:srgbClr val="2A78D6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2A78D6"/>
              </a:solidFill>
              <a:ln xmlns:a="http://schemas.openxmlformats.org/drawingml/2006/main" w="9525">
                <a:solidFill>
                  <a:srgbClr val="FFFFFF"/>
                </a:solidFill>
                <a:prstDash val="solid"/>
              </a:ln>
            </spPr>
          </marker>
          <dPt>
            <idx val="6"/>
            <marker>
              <symbol val="circle"/>
              <size val="7"/>
              <spPr>
                <a:solidFill xmlns:a="http://schemas.openxmlformats.org/drawingml/2006/main">
                  <a:srgbClr val="FFFFFF"/>
                </a:solidFill>
                <a:ln xmlns:a="http://schemas.openxmlformats.org/drawingml/2006/main" w="19050">
                  <a:solidFill>
                    <a:srgbClr val="2A78D6"/>
                  </a:solidFill>
                  <a:prstDash val="solid"/>
                </a:ln>
              </spPr>
            </marker>
            <spPr>
              <a:ln xmlns:a="http://schemas.openxmlformats.org/drawingml/2006/main" w="25400">
                <a:solidFill>
                  <a:srgbClr val="2A78D6"/>
                </a:solidFill>
                <a:prstDash val="dash"/>
              </a:ln>
            </spPr>
          </dPt>
          <cat>
            <numRef>
              <f>'Figure 2'!$A$2:$A$8</f>
            </numRef>
          </cat>
          <val>
            <numRef>
              <f>'Figure 2'!$B$2:$B$8</f>
            </numRef>
          </val>
          <smooth val="0"/>
        </ser>
        <ser>
          <idx val="1"/>
          <order val="1"/>
          <tx>
            <strRef>
              <f>'Figure 2'!C1</f>
            </strRef>
          </tx>
          <spPr>
            <a:ln xmlns:a="http://schemas.openxmlformats.org/drawingml/2006/main" w="25400">
              <a:solidFill>
                <a:srgbClr val="EB6834"/>
              </a:solidFill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EB6834"/>
              </a:solidFill>
              <a:ln xmlns:a="http://schemas.openxmlformats.org/drawingml/2006/main" w="9525">
                <a:solidFill>
                  <a:srgbClr val="FFFFFF"/>
                </a:solidFill>
                <a:prstDash val="solid"/>
              </a:ln>
            </spPr>
          </marker>
          <dPt>
            <idx val="6"/>
            <marker>
              <symbol val="square"/>
              <size val="7"/>
              <spPr>
                <a:solidFill xmlns:a="http://schemas.openxmlformats.org/drawingml/2006/main">
                  <a:srgbClr val="FFFFFF"/>
                </a:solidFill>
                <a:ln xmlns:a="http://schemas.openxmlformats.org/drawingml/2006/main" w="19050">
                  <a:solidFill>
                    <a:srgbClr val="EB6834"/>
                  </a:solidFill>
                  <a:prstDash val="solid"/>
                </a:ln>
              </spPr>
            </marker>
            <spPr>
              <a:ln xmlns:a="http://schemas.openxmlformats.org/drawingml/2006/main" w="25400">
                <a:solidFill>
                  <a:srgbClr val="EB6834"/>
                </a:solidFill>
                <a:prstDash val="dash"/>
              </a:ln>
            </spPr>
          </dPt>
          <cat>
            <numRef>
              <f>'Figure 2'!$A$2:$A$8</f>
            </numRef>
          </cat>
          <val>
            <numRef>
              <f>'Figure 2'!$C$2:$C$8</f>
            </numRef>
          </val>
          <smooth val="0"/>
        </ser>
        <ser>
          <idx val="2"/>
          <order val="2"/>
          <tx>
            <strRef>
              <f>'Figure 2'!D1</f>
            </strRef>
          </tx>
          <spPr>
            <a:ln xmlns:a="http://schemas.openxmlformats.org/drawingml/2006/main" w="25400">
              <a:solidFill>
                <a:srgbClr val="1BAF7A"/>
              </a:solidFill>
              <a:prstDash val="solid"/>
            </a:ln>
          </spPr>
          <marker>
            <symbol val="triangle"/>
            <size val="7"/>
            <spPr>
              <a:solidFill xmlns:a="http://schemas.openxmlformats.org/drawingml/2006/main">
                <a:srgbClr val="1BAF7A"/>
              </a:solidFill>
              <a:ln xmlns:a="http://schemas.openxmlformats.org/drawingml/2006/main" w="9525">
                <a:solidFill>
                  <a:srgbClr val="FFFFFF"/>
                </a:solidFill>
                <a:prstDash val="solid"/>
              </a:ln>
            </spPr>
          </marker>
          <dPt>
            <idx val="6"/>
            <marker>
              <symbol val="triangle"/>
              <size val="7"/>
              <spPr>
                <a:solidFill xmlns:a="http://schemas.openxmlformats.org/drawingml/2006/main">
                  <a:srgbClr val="FFFFFF"/>
                </a:solidFill>
                <a:ln xmlns:a="http://schemas.openxmlformats.org/drawingml/2006/main" w="19050">
                  <a:solidFill>
                    <a:srgbClr val="1BAF7A"/>
                  </a:solidFill>
                  <a:prstDash val="solid"/>
                </a:ln>
              </spPr>
            </marker>
            <spPr>
              <a:ln xmlns:a="http://schemas.openxmlformats.org/drawingml/2006/main" w="25400">
                <a:solidFill>
                  <a:srgbClr val="1BAF7A"/>
                </a:solidFill>
                <a:prstDash val="dash"/>
              </a:ln>
            </spPr>
          </dPt>
          <dLbls>
            <dLbl>
              <idx val="0"/>
              <tx>
                <strRef>
                  <f>'Figure 2'!$F$2</f>
                  <strCache>
                    <ptCount val="1"/>
                    <pt idx="0">
                      <v>39%</v>
                    </pt>
                  </strCache>
                </strRef>
              </tx>
              <txPr>
                <a:bodyPr xmlns:a="http://schemas.openxmlformats.org/drawingml/2006/main"/>
                <a:p xmlns:a="http://schemas.openxmlformats.org/drawingml/2006/main">
                  <a:pPr>
                    <a:defRPr sz="800">
                      <a:solidFill>
                        <a:srgbClr val="52514E"/>
                      </a:solidFill>
                    </a:defRPr>
                  </a:pPr>
                  <a:endParaRPr sz="800">
                    <a:solidFill>
                      <a:srgbClr val="52514E"/>
                    </a:solidFill>
                  </a:endParaRPr>
                </a:p>
              </txPr>
              <dLblPos val="b"/>
              <showLegendKey val="0"/>
              <showVal val="1"/>
              <showCatName val="0"/>
              <showSerName val="0"/>
              <showPercent val="0"/>
            </dLbl>
            <dLbl>
              <idx val="1"/>
              <tx>
                <strRef>
                  <f>'Figure 2'!$F$3</f>
                  <strCache>
                    <ptCount val="1"/>
                    <pt idx="0">
                      <v>40%</v>
                    </pt>
                  </strCache>
                </strRef>
              </tx>
              <txPr>
                <a:bodyPr xmlns:a="http://schemas.openxmlformats.org/drawingml/2006/main"/>
                <a:p xmlns:a="http://schemas.openxmlformats.org/drawingml/2006/main">
                  <a:pPr>
                    <a:defRPr sz="800">
                      <a:solidFill>
                        <a:srgbClr val="52514E"/>
                      </a:solidFill>
                    </a:defRPr>
                  </a:pPr>
                  <a:endParaRPr sz="800">
                    <a:solidFill>
                      <a:srgbClr val="52514E"/>
                    </a:solidFill>
                  </a:endParaRPr>
                </a:p>
              </txPr>
              <dLblPos val="b"/>
              <showLegendKey val="0"/>
              <showVal val="1"/>
              <showCatName val="0"/>
              <showSerName val="0"/>
              <showPercent val="0"/>
            </dLbl>
            <dLbl>
              <idx val="2"/>
              <tx>
                <strRef>
                  <f>'Figure 2'!$F$4</f>
                  <strCache>
                    <ptCount val="1"/>
                    <pt idx="0">
                      <v>36%</v>
                    </pt>
                  </strCache>
                </strRef>
              </tx>
              <txPr>
                <a:bodyPr xmlns:a="http://schemas.openxmlformats.org/drawingml/2006/main"/>
                <a:p xmlns:a="http://schemas.openxmlformats.org/drawingml/2006/main">
                  <a:pPr>
                    <a:defRPr sz="800">
                      <a:solidFill>
                        <a:srgbClr val="52514E"/>
                      </a:solidFill>
                    </a:defRPr>
                  </a:pPr>
                  <a:endParaRPr sz="800">
                    <a:solidFill>
                      <a:srgbClr val="52514E"/>
                    </a:solidFill>
                  </a:endParaRPr>
                </a:p>
              </txPr>
              <dLblPos val="b"/>
              <showLegendKey val="0"/>
              <showVal val="1"/>
              <showCatName val="0"/>
              <showSerName val="0"/>
              <showPercent val="0"/>
            </dLbl>
            <dLbl>
              <idx val="3"/>
              <tx>
                <strRef>
                  <f>'Figure 2'!$F$5</f>
                  <strCache>
                    <ptCount val="1"/>
                    <pt idx="0">
                      <v>43%</v>
                    </pt>
                  </strCache>
                </strRef>
              </tx>
              <txPr>
                <a:bodyPr xmlns:a="http://schemas.openxmlformats.org/drawingml/2006/main"/>
                <a:p xmlns:a="http://schemas.openxmlformats.org/drawingml/2006/main">
                  <a:pPr>
                    <a:defRPr sz="800">
                      <a:solidFill>
                        <a:srgbClr val="52514E"/>
                      </a:solidFill>
                    </a:defRPr>
                  </a:pPr>
                  <a:endParaRPr sz="800">
                    <a:solidFill>
                      <a:srgbClr val="52514E"/>
                    </a:solidFill>
                  </a:endParaRPr>
                </a:p>
              </txPr>
              <dLblPos val="b"/>
              <showLegendKey val="0"/>
              <showVal val="1"/>
              <showCatName val="0"/>
              <showSerName val="0"/>
              <showPercent val="0"/>
            </dLbl>
            <dLbl>
              <idx val="4"/>
              <tx>
                <strRef>
                  <f>'Figure 2'!$F$6</f>
                  <strCache>
                    <ptCount val="1"/>
                    <pt idx="0">
                      <v>44%</v>
                    </pt>
                  </strCache>
                </strRef>
              </tx>
              <txPr>
                <a:bodyPr xmlns:a="http://schemas.openxmlformats.org/drawingml/2006/main"/>
                <a:p xmlns:a="http://schemas.openxmlformats.org/drawingml/2006/main">
                  <a:pPr>
                    <a:defRPr sz="800">
                      <a:solidFill>
                        <a:srgbClr val="52514E"/>
                      </a:solidFill>
                    </a:defRPr>
                  </a:pPr>
                  <a:endParaRPr sz="800">
                    <a:solidFill>
                      <a:srgbClr val="52514E"/>
                    </a:solidFill>
                  </a:endParaRPr>
                </a:p>
              </txPr>
              <dLblPos val="b"/>
              <showLegendKey val="0"/>
              <showVal val="1"/>
              <showCatName val="0"/>
              <showSerName val="0"/>
              <showPercent val="0"/>
            </dLbl>
            <dLbl>
              <idx val="5"/>
              <tx>
                <strRef>
                  <f>'Figure 2'!$F$7</f>
                  <strCache>
                    <ptCount val="1"/>
                    <pt idx="0">
                      <v>45%</v>
                    </pt>
                  </strCache>
                </strRef>
              </tx>
              <txPr>
                <a:bodyPr xmlns:a="http://schemas.openxmlformats.org/drawingml/2006/main"/>
                <a:p xmlns:a="http://schemas.openxmlformats.org/drawingml/2006/main">
                  <a:pPr>
                    <a:defRPr sz="800">
                      <a:solidFill>
                        <a:srgbClr val="52514E"/>
                      </a:solidFill>
                    </a:defRPr>
                  </a:pPr>
                  <a:endParaRPr sz="800">
                    <a:solidFill>
                      <a:srgbClr val="52514E"/>
                    </a:solidFill>
                  </a:endParaRPr>
                </a:p>
              </txPr>
              <dLblPos val="b"/>
              <showLegendKey val="0"/>
              <showVal val="1"/>
              <showCatName val="0"/>
              <showSerName val="0"/>
              <showPercent val="0"/>
            </dLbl>
            <dLbl>
              <idx val="6"/>
              <tx>
                <strRef>
                  <f>'Figure 2'!$F$8</f>
                  <strCache>
                    <ptCount val="1"/>
                    <pt idx="0">
                      <v>42%</v>
                    </pt>
                  </strCache>
                </strRef>
              </tx>
              <txPr>
                <a:bodyPr xmlns:a="http://schemas.openxmlformats.org/drawingml/2006/main"/>
                <a:p xmlns:a="http://schemas.openxmlformats.org/drawingml/2006/main">
                  <a:pPr>
                    <a:defRPr sz="800">
                      <a:solidFill>
                        <a:srgbClr val="52514E"/>
                      </a:solidFill>
                    </a:defRPr>
                  </a:pPr>
                  <a:endParaRPr sz="800">
                    <a:solidFill>
                      <a:srgbClr val="52514E"/>
                    </a:solidFill>
                  </a:endParaRPr>
                </a:p>
              </txPr>
              <dLblPos val="b"/>
              <showLegendKey val="0"/>
              <showVal val="1"/>
              <showCatName val="0"/>
              <showSerName val="0"/>
              <showPercent val="0"/>
            </dLbl>
            <showVal val="0"/>
          </dLbls>
          <cat>
            <numRef>
              <f>'Figure 2'!$A$2:$A$8</f>
            </numRef>
          </cat>
          <val>
            <numRef>
              <f>'Figure 2'!$D$2:$D$8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52514E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>
                <a:solidFill>
                  <a:srgbClr val="52514E"/>
                </a:solidFill>
              </a:defRPr>
            </a:pPr>
            <a:endParaRPr sz="900">
              <a:solidFill>
                <a:srgbClr val="52514E"/>
              </a:solidFill>
            </a:endParaRPr>
          </a:p>
        </txPr>
        <crossAx val="100"/>
        <lblOffset val="100"/>
      </catAx>
      <valAx>
        <axId val="100"/>
        <scaling>
          <orientation val="minMax"/>
          <max val="20"/>
          <min val="0"/>
        </scaling>
        <delete val="0"/>
        <axPos val="l"/>
        <majorGridlines>
          <spPr>
            <a:ln xmlns:a="http://schemas.openxmlformats.org/drawingml/2006/main" w="9525">
              <a:solidFill>
                <a:srgbClr val="E4E3DF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0B0B0B"/>
                    </a:solidFill>
                  </a:defRPr>
                </a:pPr>
                <a:r>
                  <a:t>Dental spending ($ billions)</a:t>
                </a:r>
              </a:p>
            </rich>
          </tx>
        </title>
        <numFmt formatCode="0.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>
                <a:solidFill>
                  <a:srgbClr val="52514E"/>
                </a:solidFill>
              </a:defRPr>
            </a:pPr>
            <a:endParaRPr sz="900">
              <a:solidFill>
                <a:srgbClr val="52514E"/>
              </a:solidFill>
            </a:endParaRPr>
          </a:p>
        </txPr>
        <crossAx val="10"/>
        <majorUnit val="2.5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900">
              <a:solidFill>
                <a:srgbClr val="0B0B0B"/>
              </a:solidFill>
            </a:defRPr>
          </a:pPr>
          <a:endParaRPr sz="900">
            <a:solidFill>
              <a:srgbClr val="0B0B0B"/>
            </a:solidFill>
          </a:endParaRP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612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4" customWidth="1" min="5" max="5"/>
    <col width="10" customWidth="1" min="6" max="6"/>
  </cols>
  <sheetData>
    <row r="1" ht="45" customHeight="1">
      <c r="A1" s="1" t="inlineStr">
        <is>
          <t>Year</t>
        </is>
      </c>
      <c r="B1" s="1" t="inlineStr">
        <is>
          <t>NHE Medicaid + CHIP dental services ($B)</t>
        </is>
      </c>
      <c r="C1" s="1" t="inlineStr">
        <is>
          <t>HHS release, all dental codes ($B)</t>
        </is>
      </c>
      <c r="D1" s="1" t="inlineStr">
        <is>
          <t>Mapped to 50 states + DC ($B)</t>
        </is>
      </c>
      <c r="E1" s="1" t="inlineStr">
        <is>
          <t>Mapped, % of NHE</t>
        </is>
      </c>
      <c r="F1" s="1" t="inlineStr">
        <is>
          <t>Label</t>
        </is>
      </c>
    </row>
    <row r="2">
      <c r="A2" s="2" t="inlineStr">
        <is>
          <t>2018</t>
        </is>
      </c>
      <c r="B2" s="3" t="n">
        <v>11.717</v>
      </c>
      <c r="C2" s="3" t="n">
        <v>4.763</v>
      </c>
      <c r="D2" s="3" t="n">
        <v>4.575</v>
      </c>
      <c r="E2" s="4">
        <f>D2/B2</f>
        <v/>
      </c>
      <c r="F2" s="2">
        <f>TEXT(E2,"0%")</f>
        <v/>
      </c>
    </row>
    <row r="3">
      <c r="A3" s="2" t="inlineStr">
        <is>
          <t>2019</t>
        </is>
      </c>
      <c r="B3" s="3" t="n">
        <v>12.172</v>
      </c>
      <c r="C3" s="3" t="n">
        <v>5.214</v>
      </c>
      <c r="D3" s="3" t="n">
        <v>4.828</v>
      </c>
      <c r="E3" s="4">
        <f>D3/B3</f>
        <v/>
      </c>
      <c r="F3" s="2">
        <f>TEXT(E3,"0%")</f>
        <v/>
      </c>
    </row>
    <row r="4">
      <c r="A4" s="2" t="inlineStr">
        <is>
          <t>2020</t>
        </is>
      </c>
      <c r="B4" s="3" t="n">
        <v>10.816</v>
      </c>
      <c r="C4" s="3" t="n">
        <v>4.278</v>
      </c>
      <c r="D4" s="3" t="n">
        <v>3.927</v>
      </c>
      <c r="E4" s="4">
        <f>D4/B4</f>
        <v/>
      </c>
      <c r="F4" s="2">
        <f>TEXT(E4,"0%")</f>
        <v/>
      </c>
    </row>
    <row r="5">
      <c r="A5" s="2" t="inlineStr">
        <is>
          <t>2021</t>
        </is>
      </c>
      <c r="B5" s="3" t="n">
        <v>13.871</v>
      </c>
      <c r="C5" s="3" t="n">
        <v>6.454</v>
      </c>
      <c r="D5" s="3" t="n">
        <v>5.903</v>
      </c>
      <c r="E5" s="4">
        <f>D5/B5</f>
        <v/>
      </c>
      <c r="F5" s="2">
        <f>TEXT(E5,"0%")</f>
        <v/>
      </c>
    </row>
    <row r="6">
      <c r="A6" s="2" t="inlineStr">
        <is>
          <t>2022</t>
        </is>
      </c>
      <c r="B6" s="3" t="n">
        <v>15.849</v>
      </c>
      <c r="C6" s="3" t="n">
        <v>7.322</v>
      </c>
      <c r="D6" s="3" t="n">
        <v>6.907</v>
      </c>
      <c r="E6" s="4">
        <f>D6/B6</f>
        <v/>
      </c>
      <c r="F6" s="2">
        <f>TEXT(E6,"0%")</f>
        <v/>
      </c>
    </row>
    <row r="7">
      <c r="A7" s="2" t="inlineStr">
        <is>
          <t>2023</t>
        </is>
      </c>
      <c r="B7" s="3" t="n">
        <v>17.446</v>
      </c>
      <c r="C7" s="3" t="n">
        <v>8.138999999999999</v>
      </c>
      <c r="D7" s="3" t="n">
        <v>7.814</v>
      </c>
      <c r="E7" s="4">
        <f>D7/B7</f>
        <v/>
      </c>
      <c r="F7" s="2">
        <f>TEXT(E7,"0%")</f>
        <v/>
      </c>
    </row>
    <row r="8">
      <c r="A8" s="2" t="inlineStr">
        <is>
          <t>2024</t>
        </is>
      </c>
      <c r="B8" s="3" t="n">
        <v>18.723</v>
      </c>
      <c r="C8" s="3" t="n">
        <v>8.048999999999999</v>
      </c>
      <c r="D8" s="3" t="n">
        <v>7.865</v>
      </c>
      <c r="E8" s="4">
        <f>D8/B8</f>
        <v/>
      </c>
      <c r="F8" s="2">
        <f>TEXT(E8,"0%")</f>
        <v/>
      </c>
    </row>
    <row r="10">
      <c r="A10" s="5" t="inlineStr">
        <is>
          <t>Notes</t>
        </is>
      </c>
    </row>
    <row r="11" ht="42" customHeight="1">
      <c r="A11" s="6" t="inlineStr">
        <is>
          <t>Blue cells are inputs from docs/validation/nhe_benchmark.csv (scripts/validate_nhe.py), in billions of dollars. Columns E and F are formulas; the chart's percentage labels read column F.</t>
        </is>
      </c>
    </row>
    <row r="12" ht="42" customHeight="1">
      <c r="A12" s="6" t="inlineStr">
        <is>
          <t>NHE: CMS National Health Expenditure Accounts, type of service and source of funds, CY 1960-2024 (2024 edition, retrieved 2026-10-12), Medicaid + CHIP rows of Total Dental Services.</t>
        </is>
      </c>
    </row>
    <row r="13" ht="42" customHeight="1">
      <c r="A13" s="6" t="inlineStr">
        <is>
          <t>HHS release: all D-code payments in the HHS Medicaid Provider Spending file, by calendar year of service. Mapped: payments linked to NPPES and geocoded to the 50 states + DC.</t>
        </is>
      </c>
    </row>
    <row r="14" ht="42" customHeight="1">
      <c r="A14" s="6" t="inlineStr">
        <is>
          <t>2024 is preliminary (claims for Nov-Dec 2024 incomplete at release); drawn dashed with open markers.</t>
        </is>
      </c>
    </row>
  </sheetData>
  <mergeCells count="5">
    <mergeCell ref="A11:F11"/>
    <mergeCell ref="A10:F10"/>
    <mergeCell ref="A13:F13"/>
    <mergeCell ref="A14:F14"/>
    <mergeCell ref="A12:F1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2026-10-23T13:03:26Z</dcterms:created>
  <dcterms:modified xmlns:dcterms="http://purl.org/dc/terms/" xmlns:xsi="http://www.w3.org/2001/XMLSchema-instance" xsi:type="dcterms:W3CDTF">2026-10-23T13:03:26Z</dcterms:modified>
</cp:coreProperties>
</file>